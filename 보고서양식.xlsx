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seoulenergy\"/>
    </mc:Choice>
  </mc:AlternateContent>
  <xr:revisionPtr revIDLastSave="0" documentId="13_ncr:1_{CBBA726D-5712-41F0-81A6-CC06F16D1884}" xr6:coauthVersionLast="36" xr6:coauthVersionMax="36" xr10:uidLastSave="{00000000-0000-0000-0000-000000000000}"/>
  <bookViews>
    <workbookView xWindow="0" yWindow="0" windowWidth="28800" windowHeight="12060" xr2:uid="{F2B18693-9D72-4237-8913-497AF8D61C6A}"/>
  </bookViews>
  <sheets>
    <sheet name="보고서" sheetId="1" r:id="rId1"/>
    <sheet name="Sheet1" sheetId="5" r:id="rId2"/>
  </sheets>
  <definedNames>
    <definedName name="_xlnm.Print_Area" localSheetId="0">보고서!$A$1:$F$33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5" i="1" l="1"/>
  <c r="F2" i="1"/>
  <c r="B3" i="1"/>
  <c r="B4" i="1"/>
  <c r="E3" i="1"/>
  <c r="D3" i="1"/>
  <c r="A20" i="1"/>
  <c r="B20" i="1"/>
  <c r="C20" i="1"/>
  <c r="D20" i="1"/>
  <c r="E20" i="1"/>
  <c r="F20" i="1"/>
  <c r="B21" i="1"/>
  <c r="C21" i="1"/>
  <c r="D21" i="1"/>
  <c r="E21" i="1"/>
  <c r="F21" i="1"/>
  <c r="A22" i="1"/>
  <c r="B22" i="1"/>
  <c r="C22" i="1"/>
  <c r="D22" i="1"/>
  <c r="E22" i="1"/>
  <c r="F22" i="1"/>
  <c r="A23" i="1"/>
  <c r="B23" i="1"/>
  <c r="C23" i="1"/>
  <c r="D23" i="1"/>
  <c r="E23" i="1"/>
  <c r="F23" i="1"/>
  <c r="A24" i="1"/>
  <c r="B24" i="1"/>
  <c r="C24" i="1"/>
  <c r="D24" i="1"/>
  <c r="E24" i="1"/>
  <c r="F24" i="1"/>
  <c r="B19" i="1"/>
  <c r="C19" i="1"/>
  <c r="D19" i="1"/>
  <c r="E19" i="1"/>
  <c r="F19" i="1"/>
  <c r="A19" i="1"/>
  <c r="F18" i="1"/>
  <c r="B18" i="1"/>
  <c r="C18" i="1"/>
  <c r="D18" i="1"/>
  <c r="E18" i="1"/>
  <c r="A18" i="1"/>
  <c r="D12" i="1"/>
  <c r="D13" i="1"/>
  <c r="D14" i="1"/>
  <c r="D15" i="1"/>
  <c r="D16" i="1"/>
  <c r="D11" i="1"/>
  <c r="A12" i="1"/>
  <c r="A14" i="1"/>
  <c r="A15" i="1"/>
  <c r="A16" i="1"/>
  <c r="E12" i="1"/>
  <c r="E13" i="1"/>
  <c r="E14" i="1"/>
  <c r="E15" i="1"/>
  <c r="E16" i="1"/>
  <c r="E11" i="1"/>
  <c r="B12" i="1"/>
  <c r="B13" i="1"/>
  <c r="B14" i="1"/>
  <c r="B15" i="1"/>
  <c r="B16" i="1"/>
  <c r="B11" i="1"/>
  <c r="E7" i="1"/>
  <c r="E8" i="1"/>
  <c r="E9" i="1"/>
  <c r="E6" i="1"/>
  <c r="B7" i="1"/>
  <c r="B8" i="1"/>
  <c r="B9" i="1"/>
  <c r="B6" i="1"/>
  <c r="D7" i="1"/>
  <c r="D8" i="1"/>
  <c r="D9" i="1"/>
  <c r="D6" i="1"/>
  <c r="A7" i="1"/>
  <c r="A8" i="1"/>
  <c r="A9" i="1"/>
  <c r="A6" i="1"/>
  <c r="A4" i="1"/>
  <c r="A3" i="1"/>
</calcChain>
</file>

<file path=xl/sharedStrings.xml><?xml version="1.0" encoding="utf-8"?>
<sst xmlns="http://schemas.openxmlformats.org/spreadsheetml/2006/main" count="155" uniqueCount="83">
  <si>
    <t>연면적</t>
  </si>
  <si>
    <t>220,722 m²</t>
  </si>
  <si>
    <t>세대수</t>
  </si>
  <si>
    <t>2235 세대</t>
  </si>
  <si>
    <t>평균 전용면적</t>
  </si>
  <si>
    <t>72 m²</t>
  </si>
  <si>
    <t>지열 설치용량</t>
  </si>
  <si>
    <t>3140 kW</t>
  </si>
  <si>
    <t>PV 설치용량</t>
  </si>
  <si>
    <t>1712 kWp</t>
  </si>
  <si>
    <t>BAPV 설치용량</t>
  </si>
  <si>
    <t>—</t>
  </si>
  <si>
    <t>BIPV 설치용량</t>
  </si>
  <si>
    <t>1차에너지 소요량</t>
  </si>
  <si>
    <t>26,486,640 kWh/yr</t>
  </si>
  <si>
    <t>1차에너지생산량</t>
  </si>
  <si>
    <t>5,427,320 kWh/yr</t>
  </si>
  <si>
    <t>자립률</t>
  </si>
  <si>
    <t>ZEB 등급</t>
  </si>
  <si>
    <t>5등급</t>
  </si>
  <si>
    <t>추가 에너지설비 투자비</t>
  </si>
  <si>
    <t>5,181,851,000원</t>
  </si>
  <si>
    <t>취득세 절감</t>
  </si>
  <si>
    <t>2,615,555,700원</t>
  </si>
  <si>
    <t>연간 전력 사용량</t>
  </si>
  <si>
    <t>3,611,815 kWh/yr</t>
  </si>
  <si>
    <t>연간 가스 사용량</t>
  </si>
  <si>
    <t>15,049,227 kWh/yr</t>
  </si>
  <si>
    <t>전기 단가</t>
  </si>
  <si>
    <t>100 원/kWh</t>
  </si>
  <si>
    <t>가스 단가</t>
  </si>
  <si>
    <t>22 원/MJ</t>
  </si>
  <si>
    <t>전력요금 절감</t>
  </si>
  <si>
    <t>135,144,552원/yr</t>
  </si>
  <si>
    <t>가스요금 절감</t>
  </si>
  <si>
    <t>134,006,804원/yr</t>
  </si>
  <si>
    <t>총 에너지비용 절감</t>
  </si>
  <si>
    <t>269,151,355원/yr</t>
  </si>
  <si>
    <t>간이 투자회수기간</t>
  </si>
  <si>
    <t>9.5년</t>
  </si>
  <si>
    <t>NPV</t>
  </si>
  <si>
    <t>533,218,244원</t>
  </si>
  <si>
    <t>IRR</t>
  </si>
  <si>
    <t>지표</t>
  </si>
  <si>
    <t>135,144,552원</t>
  </si>
  <si>
    <t>134,006,804원</t>
  </si>
  <si>
    <t>269,151,355원</t>
  </si>
  <si>
    <t>간이투자회수 기간</t>
  </si>
  <si>
    <t>7.6년</t>
  </si>
  <si>
    <t>8.6년</t>
  </si>
  <si>
    <t>10.5년</t>
  </si>
  <si>
    <t>11.5년</t>
  </si>
  <si>
    <t>1,051,403,344원</t>
  </si>
  <si>
    <t>792,310,794원</t>
  </si>
  <si>
    <t>274,125,694원</t>
  </si>
  <si>
    <t>15,033,144원</t>
  </si>
  <si>
    <t/>
  </si>
  <si>
    <t>20.5%</t>
  </si>
  <si>
    <t>6.63%</t>
  </si>
  <si>
    <t>-10%</t>
  </si>
  <si>
    <t>-5%</t>
  </si>
  <si>
    <t>0%</t>
  </si>
  <si>
    <t>5%</t>
  </si>
  <si>
    <t>10%</t>
  </si>
  <si>
    <t>9.45%</t>
  </si>
  <si>
    <t>7.92%</t>
  </si>
  <si>
    <t>5.52%</t>
  </si>
  <si>
    <t>4.55%</t>
  </si>
  <si>
    <t>신재생 추가 투자비</t>
  </si>
  <si>
    <t>에너지 절감(20년)</t>
  </si>
  <si>
    <t>1. 사업지 개요</t>
  </si>
  <si>
    <t>2. 투자비 산출 요약</t>
  </si>
  <si>
    <t>3. 경제성 분석 요약</t>
  </si>
  <si>
    <t>4. 민감도 분석 요약</t>
  </si>
  <si>
    <t>등촌2동 520-3 에너지믹스 검토 보고서</t>
  </si>
  <si>
    <t>에너지믹스 방향</t>
  </si>
  <si>
    <t>ZEB 5 기반, 투자비 최소화</t>
  </si>
  <si>
    <t>민감도 분석 변수</t>
  </si>
  <si>
    <t>투자비</t>
  </si>
  <si>
    <t>범위</t>
  </si>
  <si>
    <t>±10%</t>
  </si>
  <si>
    <t>※ 본 분석보고서는 간이분석 결과로써, 향후 상세설계 결과에 따라 변동될 수 있음</t>
  </si>
  <si>
    <t>전기 단가(SMP)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</si>
</sst>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29"/>
      <scheme val="minor"/>
    </font>
    <font>
      <sz val="11"/>
      <color rgb="FF333333"/>
      <name val="Arial"/>
      <family val="2"/>
    </font>
    <font>
      <sz val="11"/>
      <color rgb="FF111111"/>
      <name val="Arial"/>
      <family val="2"/>
    </font>
    <font>
      <b/>
      <sz val="11"/>
      <color rgb="FF111111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4"/>
      <color theme="1"/>
      <name val="Calibri"/>
      <family val="2"/>
      <charset val="129"/>
      <scheme val="minor"/>
    </font>
    <font>
      <b/>
      <u/>
      <sz val="16"/>
      <color theme="1"/>
      <name val="Calibri"/>
      <family val="2"/>
      <scheme val="minor"/>
    </font>
    <font>
      <i/>
      <sz val="11"/>
      <color theme="1" tint="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E0E0E0"/>
      </bottom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E0E0E0"/>
      </top>
      <bottom style="medium">
        <color rgb="FFE0E0E0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wrapText="1" inden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1" applyNumberFormat="1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4" fontId="7" fillId="0" borderId="0" xfId="0" applyNumberFormat="1" applyFont="1" applyAlignment="1">
      <alignment vertical="top"/>
    </xf>
    <xf numFmtId="0" fontId="4" fillId="0" borderId="0" xfId="1" applyNumberFormat="1"/>
    <xf numFmtId="0" fontId="5" fillId="0" borderId="0" xfId="0" applyFont="1"/>
    <xf numFmtId="0" fontId="9" fillId="0" borderId="0" xfId="0" applyFont="1" applyBorder="1" applyAlignment="1">
      <alignment horizontal="left"/>
    </xf>
  </cellXfs>
  <cellStyles count="2">
    <cellStyle name="표준" xfId="0" builtinId="0"/>
    <cellStyle name="표준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368709</xdr:colOff>
      <xdr:row>22</xdr:row>
      <xdr:rowOff>133890</xdr:rowOff>
    </xdr:from>
    <xdr:to>
      <xdr:col>8</xdr:col>
      <xdr:colOff>15361</xdr:colOff>
      <xdr:row>23</xdr:row>
      <xdr:rowOff>217912</xdr:rowOff>
    </xdr:to>
    <xdr:sp macro="[0]!Sheet1.FitLastPastedPictureWidthToRange_KeepRatio" textlink="">
      <xdr:nvSpPr>
        <xdr:cNvPr id="9" name="직사각형 8">
          <a:extLst>
            <a:ext uri="{FF2B5EF4-FFF2-40B4-BE49-F238E27FC236}">
              <a16:creationId xmlns:a16="http://schemas.microsoft.com/office/drawing/2014/main" id="{D8E4EA61-CF8F-4698-AE4A-36189009C4E6}"/>
            </a:ext>
          </a:extLst>
        </xdr:cNvPr>
        <xdr:cNvSpPr>
          <a:spLocks noChangeAspect="1"/>
        </xdr:cNvSpPr>
      </xdr:nvSpPr>
      <xdr:spPr>
        <a:xfrm>
          <a:off x="8572499" y="9259455"/>
          <a:ext cx="875685" cy="4988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556D-8411-4984-B770-757154D65CB7}">
  <sheetPr codeName="Sheet1">
    <pageSetUpPr fitToPage="1"/>
  </sheetPr>
  <dimension ref="A1:F33"/>
  <sheetViews>
    <sheetView tabSelected="1" topLeftCell="A14" zoomScale="62" zoomScaleNormal="62" workbookViewId="0">
      <selection activeCell="K21" sqref="K21"/>
    </sheetView>
  </sheetViews>
  <sheetFormatPr defaultRowHeight="32.25" customHeight="1"/>
  <cols>
    <col min="1" max="6" width="20.42578125" customWidth="1"/>
  </cols>
  <sheetData>
    <row r="1" spans="1:6" ht="32.25" customHeight="1">
      <c r="A1" s="9" t="s">
        <v>74</v>
      </c>
      <c r="B1" s="9"/>
      <c r="C1" s="9"/>
      <c r="D1" s="9"/>
      <c r="E1" s="9"/>
      <c r="F1" s="9"/>
    </row>
    <row r="2" spans="1:6" ht="32.25" customHeight="1">
      <c r="A2" s="8" t="s">
        <v>70</v>
      </c>
      <c r="F2" s="10">
        <f ca="1">TODAY()</f>
        <v>46080</v>
      </c>
    </row>
    <row r="3" spans="1:6" ht="32.25" customHeight="1" thickBot="1">
      <c r="A3" s="2" t="str">
        <f>Sheet1!A1</f>
        <v>연면적</v>
      </c>
      <c r="B3" s="6" t="str">
        <f>Sheet1!B1</f>
        <v>220,722 m²</v>
      </c>
      <c r="C3" s="6"/>
      <c r="D3" s="2" t="str">
        <f>Sheet1!D1</f>
        <v>세대수</v>
      </c>
      <c r="E3" s="6" t="str">
        <f>Sheet1!E1</f>
        <v>2235 세대</v>
      </c>
      <c r="F3" s="6"/>
    </row>
    <row r="4" spans="1:6" ht="32.25" customHeight="1" thickBot="1">
      <c r="A4" s="2" t="str">
        <f>Sheet1!A2</f>
        <v>평균 전용면적</v>
      </c>
      <c r="B4" s="7" t="str">
        <f>Sheet1!B2</f>
        <v>72 m²</v>
      </c>
      <c r="C4" s="7"/>
      <c r="D4" s="2" t="s">
        <v>75</v>
      </c>
      <c r="E4" s="7" t="s">
        <v>76</v>
      </c>
      <c r="F4" s="7"/>
    </row>
    <row r="5" spans="1:6" ht="32.25" customHeight="1" thickBot="1">
      <c r="A5" s="8" t="s">
        <v>71</v>
      </c>
      <c r="B5" s="3"/>
      <c r="C5" s="3"/>
      <c r="D5" s="1"/>
      <c r="E5" s="3"/>
      <c r="F5" s="3"/>
    </row>
    <row r="6" spans="1:6" ht="32.25" customHeight="1" thickBot="1">
      <c r="A6" s="2" t="str">
        <f>Sheet1!A4</f>
        <v>지열 설치용량</v>
      </c>
      <c r="B6" s="6" t="str">
        <f>Sheet1!B4</f>
        <v>3140 kW</v>
      </c>
      <c r="C6" s="6"/>
      <c r="D6" s="2" t="str">
        <f>Sheet1!D4</f>
        <v>PV 설치용량</v>
      </c>
      <c r="E6" s="6" t="str">
        <f>Sheet1!E4</f>
        <v>1712 kWp</v>
      </c>
      <c r="F6" s="6"/>
    </row>
    <row r="7" spans="1:6" ht="32.25" customHeight="1" thickBot="1">
      <c r="A7" s="2" t="str">
        <f>Sheet1!A5</f>
        <v>BAPV 설치용량</v>
      </c>
      <c r="B7" s="7" t="str">
        <f>Sheet1!B5</f>
        <v>—</v>
      </c>
      <c r="C7" s="7"/>
      <c r="D7" s="2" t="str">
        <f>Sheet1!D5</f>
        <v>BIPV 설치용량</v>
      </c>
      <c r="E7" s="7" t="str">
        <f>Sheet1!E5</f>
        <v>—</v>
      </c>
      <c r="F7" s="7"/>
    </row>
    <row r="8" spans="1:6" ht="32.25" customHeight="1" thickBot="1">
      <c r="A8" s="2" t="str">
        <f>Sheet1!A6</f>
        <v>1차에너지 소요량</v>
      </c>
      <c r="B8" s="7" t="str">
        <f>Sheet1!B6</f>
        <v>26,486,640 kWh/yr</v>
      </c>
      <c r="C8" s="7"/>
      <c r="D8" s="2" t="str">
        <f>Sheet1!D6</f>
        <v>1차에너지생산량</v>
      </c>
      <c r="E8" s="7" t="str">
        <f>Sheet1!E6</f>
        <v>5,427,320 kWh/yr</v>
      </c>
      <c r="F8" s="7"/>
    </row>
    <row r="9" spans="1:6" ht="32.25" customHeight="1" thickBot="1">
      <c r="A9" s="2" t="str">
        <f>Sheet1!A7</f>
        <v>자립률</v>
      </c>
      <c r="B9" s="7" t="str">
        <f>Sheet1!B7</f>
        <v>20.5%</v>
      </c>
      <c r="C9" s="7"/>
      <c r="D9" s="2" t="str">
        <f>Sheet1!D7</f>
        <v>ZEB 등급</v>
      </c>
      <c r="E9" s="7" t="str">
        <f>Sheet1!E7</f>
        <v>5등급</v>
      </c>
      <c r="F9" s="7"/>
    </row>
    <row r="10" spans="1:6" ht="32.25" customHeight="1">
      <c r="A10" s="8" t="s">
        <v>72</v>
      </c>
      <c r="B10" s="4"/>
      <c r="C10" s="4"/>
      <c r="E10" s="4"/>
      <c r="F10" s="4"/>
    </row>
    <row r="11" spans="1:6" ht="32.25" customHeight="1" thickBot="1">
      <c r="A11" s="2" t="s">
        <v>68</v>
      </c>
      <c r="B11" s="6" t="str">
        <f>Sheet1!B9</f>
        <v>5,181,851,000원</v>
      </c>
      <c r="C11" s="6"/>
      <c r="D11" s="2" t="str">
        <f>Sheet1!D9</f>
        <v>취득세 절감</v>
      </c>
      <c r="E11" s="6" t="str">
        <f>Sheet1!E9</f>
        <v>2,615,555,700원</v>
      </c>
      <c r="F11" s="6"/>
    </row>
    <row r="12" spans="1:6" ht="32.25" customHeight="1" thickBot="1">
      <c r="A12" s="2" t="str">
        <f>Sheet1!A10</f>
        <v>연간 전력 사용량</v>
      </c>
      <c r="B12" s="7" t="str">
        <f>Sheet1!B10</f>
        <v>3,611,815 kWh/yr</v>
      </c>
      <c r="C12" s="7"/>
      <c r="D12" s="2" t="str">
        <f>Sheet1!D10</f>
        <v>연간 가스 사용량</v>
      </c>
      <c r="E12" s="7" t="str">
        <f>Sheet1!E10</f>
        <v>15,049,227 kWh/yr</v>
      </c>
      <c r="F12" s="7"/>
    </row>
    <row r="13" spans="1:6" ht="32.25" customHeight="1" thickBot="1">
      <c r="A13" s="2" t="s">
        <v>82</v>
      </c>
      <c r="B13" s="7" t="str">
        <f>Sheet1!B11</f>
        <v>100 원/kWh</v>
      </c>
      <c r="C13" s="7"/>
      <c r="D13" s="2" t="str">
        <f>Sheet1!D11</f>
        <v>가스 단가</v>
      </c>
      <c r="E13" s="7" t="str">
        <f>Sheet1!E11</f>
        <v>22 원/MJ</v>
      </c>
      <c r="F13" s="7"/>
    </row>
    <row r="14" spans="1:6" ht="32.25" customHeight="1" thickBot="1">
      <c r="A14" s="2" t="str">
        <f>Sheet1!A12</f>
        <v>전력요금 절감</v>
      </c>
      <c r="B14" s="7" t="str">
        <f>Sheet1!B12</f>
        <v>135,144,552원/yr</v>
      </c>
      <c r="C14" s="7"/>
      <c r="D14" s="2" t="str">
        <f>Sheet1!D12</f>
        <v>가스요금 절감</v>
      </c>
      <c r="E14" s="7" t="str">
        <f>Sheet1!E12</f>
        <v>134,006,804원/yr</v>
      </c>
      <c r="F14" s="7"/>
    </row>
    <row r="15" spans="1:6" ht="32.25" customHeight="1" thickBot="1">
      <c r="A15" s="2" t="str">
        <f>Sheet1!A13</f>
        <v>총 에너지비용 절감</v>
      </c>
      <c r="B15" s="7" t="str">
        <f>Sheet1!B13</f>
        <v>269,151,355원/yr</v>
      </c>
      <c r="C15" s="7"/>
      <c r="D15" s="2" t="str">
        <f>Sheet1!D13</f>
        <v>간이 투자회수기간</v>
      </c>
      <c r="E15" s="7" t="str">
        <f>Sheet1!E13</f>
        <v>9.5년</v>
      </c>
      <c r="F15" s="7"/>
    </row>
    <row r="16" spans="1:6" ht="32.25" customHeight="1" thickBot="1">
      <c r="A16" s="2" t="str">
        <f>Sheet1!A14</f>
        <v>NPV</v>
      </c>
      <c r="B16" s="7" t="str">
        <f>Sheet1!B14</f>
        <v>533,218,244원</v>
      </c>
      <c r="C16" s="7"/>
      <c r="D16" s="2" t="str">
        <f>Sheet1!D14</f>
        <v>IRR</v>
      </c>
      <c r="E16" s="7" t="str">
        <f>Sheet1!E14</f>
        <v>6.63%</v>
      </c>
      <c r="F16" s="7"/>
    </row>
    <row r="17" spans="1:6" ht="32.25" customHeight="1" thickBot="1">
      <c r="A17" s="8" t="s">
        <v>73</v>
      </c>
      <c r="B17" s="1"/>
      <c r="C17" s="1"/>
    </row>
    <row r="18" spans="1:6" ht="32.25" customHeight="1" thickBot="1">
      <c r="A18" s="2" t="str">
        <f>Sheet1!A16</f>
        <v>지표</v>
      </c>
      <c r="B18" s="2" t="str">
        <f>Sheet1!B16</f>
        <v>-10%</v>
      </c>
      <c r="C18" s="2" t="str">
        <f>Sheet1!C16</f>
        <v>-5%</v>
      </c>
      <c r="D18" s="2" t="str">
        <f>Sheet1!D16</f>
        <v>0%</v>
      </c>
      <c r="E18" s="2" t="str">
        <f>Sheet1!E16</f>
        <v>5%</v>
      </c>
      <c r="F18" s="2" t="str">
        <f>Sheet1!F16</f>
        <v>10%</v>
      </c>
    </row>
    <row r="19" spans="1:6" ht="32.25" customHeight="1" thickBot="1">
      <c r="A19" s="2" t="str">
        <f>Sheet1!A17</f>
        <v>전력요금 절감</v>
      </c>
      <c r="B19" s="1" t="str">
        <f>Sheet1!B17</f>
        <v>135,144,552원</v>
      </c>
      <c r="C19" s="1" t="str">
        <f>Sheet1!C17</f>
        <v>135,144,552원</v>
      </c>
      <c r="D19" s="1" t="str">
        <f>Sheet1!D17</f>
        <v>135,144,552원</v>
      </c>
      <c r="E19" s="1" t="str">
        <f>Sheet1!E17</f>
        <v>135,144,552원</v>
      </c>
      <c r="F19" s="1" t="str">
        <f>Sheet1!F17</f>
        <v>135,144,552원</v>
      </c>
    </row>
    <row r="20" spans="1:6" ht="32.25" customHeight="1" thickBot="1">
      <c r="A20" s="2" t="str">
        <f>Sheet1!A18</f>
        <v>가스요금 절감</v>
      </c>
      <c r="B20" s="1" t="str">
        <f>Sheet1!B18</f>
        <v>134,006,804원</v>
      </c>
      <c r="C20" s="1" t="str">
        <f>Sheet1!C18</f>
        <v>134,006,804원</v>
      </c>
      <c r="D20" s="1" t="str">
        <f>Sheet1!D18</f>
        <v>134,006,804원</v>
      </c>
      <c r="E20" s="1" t="str">
        <f>Sheet1!E18</f>
        <v>134,006,804원</v>
      </c>
      <c r="F20" s="1" t="str">
        <f>Sheet1!F18</f>
        <v>134,006,804원</v>
      </c>
    </row>
    <row r="21" spans="1:6" ht="32.25" customHeight="1" thickBot="1">
      <c r="A21" s="2" t="s">
        <v>69</v>
      </c>
      <c r="B21" s="1" t="str">
        <f>Sheet1!B19</f>
        <v>269,151,355원</v>
      </c>
      <c r="C21" s="1" t="str">
        <f>Sheet1!C19</f>
        <v>269,151,355원</v>
      </c>
      <c r="D21" s="1" t="str">
        <f>Sheet1!D19</f>
        <v>269,151,355원</v>
      </c>
      <c r="E21" s="1" t="str">
        <f>Sheet1!E19</f>
        <v>269,151,355원</v>
      </c>
      <c r="F21" s="1" t="str">
        <f>Sheet1!F19</f>
        <v>269,151,355원</v>
      </c>
    </row>
    <row r="22" spans="1:6" ht="32.25" customHeight="1" thickBot="1">
      <c r="A22" s="2" t="str">
        <f>Sheet1!A20</f>
        <v>간이투자회수 기간</v>
      </c>
      <c r="B22" s="1" t="str">
        <f>Sheet1!B20</f>
        <v>7.6년</v>
      </c>
      <c r="C22" s="1" t="str">
        <f>Sheet1!C20</f>
        <v>8.6년</v>
      </c>
      <c r="D22" s="1" t="str">
        <f>Sheet1!D20</f>
        <v>9.5년</v>
      </c>
      <c r="E22" s="1" t="str">
        <f>Sheet1!E20</f>
        <v>10.5년</v>
      </c>
      <c r="F22" s="1" t="str">
        <f>Sheet1!F20</f>
        <v>11.5년</v>
      </c>
    </row>
    <row r="23" spans="1:6" ht="32.25" customHeight="1" thickBot="1">
      <c r="A23" s="2" t="str">
        <f>Sheet1!A21</f>
        <v>NPV</v>
      </c>
      <c r="B23" s="1" t="str">
        <f>Sheet1!B21</f>
        <v>1,051,403,344원</v>
      </c>
      <c r="C23" s="1" t="str">
        <f>Sheet1!C21</f>
        <v>792,310,794원</v>
      </c>
      <c r="D23" s="1" t="str">
        <f>Sheet1!D21</f>
        <v>533,218,244원</v>
      </c>
      <c r="E23" s="1" t="str">
        <f>Sheet1!E21</f>
        <v>274,125,694원</v>
      </c>
      <c r="F23" s="1" t="str">
        <f>Sheet1!F21</f>
        <v>15,033,144원</v>
      </c>
    </row>
    <row r="24" spans="1:6" ht="32.25" customHeight="1" thickBot="1">
      <c r="A24" s="2" t="str">
        <f>Sheet1!A22</f>
        <v>IRR</v>
      </c>
      <c r="B24" s="1" t="str">
        <f>Sheet1!B22</f>
        <v>9.45%</v>
      </c>
      <c r="C24" s="1" t="str">
        <f>Sheet1!C22</f>
        <v>7.92%</v>
      </c>
      <c r="D24" s="1" t="str">
        <f>Sheet1!D22</f>
        <v>6.63%</v>
      </c>
      <c r="E24" s="1" t="str">
        <f>Sheet1!E22</f>
        <v>5.52%</v>
      </c>
      <c r="F24" s="1" t="str">
        <f>Sheet1!F22</f>
        <v>4.55%</v>
      </c>
    </row>
    <row r="25" spans="1:6" ht="32.25" customHeight="1">
      <c r="A25" s="13" t="str">
        <f>" (" &amp; Sheet1!A24 &amp; ":"&amp;Sheet1!B24&amp;","&amp;Sheet1!D24&amp;":"&amp;Sheet1!E24&amp;")"</f>
        <v xml:space="preserve"> (민감도 분석 변수:투자비,범위:±10%)</v>
      </c>
      <c r="B25" s="13"/>
      <c r="C25" s="13"/>
      <c r="D25" s="13"/>
      <c r="E25" s="13"/>
      <c r="F25" s="13"/>
    </row>
    <row r="26" spans="1:6" ht="32.25" customHeight="1">
      <c r="A26" s="13"/>
      <c r="B26" s="13"/>
      <c r="C26" s="13"/>
      <c r="D26" s="13"/>
      <c r="E26" s="13"/>
      <c r="F26" s="13"/>
    </row>
    <row r="27" spans="1:6" ht="32.25" customHeight="1">
      <c r="A27" s="13"/>
      <c r="B27" s="13"/>
      <c r="C27" s="13"/>
      <c r="D27" s="13"/>
      <c r="E27" s="13"/>
      <c r="F27" s="13"/>
    </row>
    <row r="28" spans="1:6" ht="32.25" customHeight="1">
      <c r="A28" s="13"/>
      <c r="B28" s="13"/>
      <c r="C28" s="13"/>
      <c r="D28" s="13"/>
      <c r="E28" s="13"/>
      <c r="F28" s="13"/>
    </row>
    <row r="29" spans="1:6" ht="32.25" customHeight="1">
      <c r="A29" s="13"/>
      <c r="B29" s="13"/>
      <c r="C29" s="13"/>
      <c r="D29" s="13"/>
      <c r="E29" s="13"/>
      <c r="F29" s="13"/>
    </row>
    <row r="30" spans="1:6" ht="32.25" customHeight="1">
      <c r="A30" s="13"/>
      <c r="B30" s="13"/>
      <c r="C30" s="13"/>
      <c r="D30" s="13"/>
      <c r="E30" s="13"/>
      <c r="F30" s="13"/>
    </row>
    <row r="31" spans="1:6" ht="32.25" customHeight="1">
      <c r="A31" s="13"/>
      <c r="B31" s="13"/>
      <c r="C31" s="13"/>
      <c r="D31" s="13"/>
      <c r="E31" s="13"/>
      <c r="F31" s="13"/>
    </row>
    <row r="32" spans="1:6" ht="32.25" customHeight="1">
      <c r="A32" s="13"/>
      <c r="B32" s="13"/>
      <c r="C32" s="13"/>
      <c r="D32" s="13"/>
      <c r="E32" s="13"/>
      <c r="F32" s="13"/>
    </row>
    <row r="33" spans="1:1" ht="32.25" customHeight="1">
      <c r="A33" s="12" t="s">
        <v>81</v>
      </c>
    </row>
  </sheetData>
  <mergeCells count="28">
    <mergeCell ref="A1:F1"/>
    <mergeCell ref="A25:F32"/>
    <mergeCell ref="B15:C15"/>
    <mergeCell ref="B16:C16"/>
    <mergeCell ref="B3:C3"/>
    <mergeCell ref="B4:C4"/>
    <mergeCell ref="B6:C6"/>
    <mergeCell ref="B7:C7"/>
    <mergeCell ref="B8:C8"/>
    <mergeCell ref="B9:C9"/>
    <mergeCell ref="E15:F15"/>
    <mergeCell ref="E16:F16"/>
    <mergeCell ref="E4:F4"/>
    <mergeCell ref="E3:F3"/>
    <mergeCell ref="E6:F6"/>
    <mergeCell ref="E7:F7"/>
    <mergeCell ref="E8:F8"/>
    <mergeCell ref="E9:F9"/>
    <mergeCell ref="E11:F11"/>
    <mergeCell ref="B10:C10"/>
    <mergeCell ref="E10:F10"/>
    <mergeCell ref="E12:F12"/>
    <mergeCell ref="E13:F13"/>
    <mergeCell ref="E14:F14"/>
    <mergeCell ref="B11:C11"/>
    <mergeCell ref="B12:C12"/>
    <mergeCell ref="B13:C13"/>
    <mergeCell ref="B14:C14"/>
  </mergeCells>
  <pageMargins left="0.7" right="0.7" top="0.75" bottom="0.75" header="0.3" footer="0.3"/>
  <pageSetup paperSize="9"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7CFD9-E10E-49B1-8544-36CF580F5AB1}">
  <sheetPr codeName="Sheet2"/>
  <dimension ref="A1:F24"/>
  <sheetViews>
    <sheetView workbookViewId="0">
      <selection activeCell="D20" sqref="D20"/>
    </sheetView>
  </sheetViews>
  <sheetFormatPr defaultRowHeight="15"/>
  <sheetData>
    <row r="1" spans="1:6" ht="15.75">
      <c r="A1" s="11" t="s">
        <v>0</v>
      </c>
      <c r="B1" s="5" t="s">
        <v>1</v>
      </c>
      <c r="C1" s="5" t="s">
        <v>56</v>
      </c>
      <c r="D1" s="11" t="s">
        <v>2</v>
      </c>
      <c r="E1" s="5" t="s">
        <v>3</v>
      </c>
      <c r="F1" s="5" t="s">
        <v>56</v>
      </c>
    </row>
    <row r="2" spans="1:6" ht="15.75">
      <c r="A2" s="11" t="s">
        <v>4</v>
      </c>
      <c r="B2" s="5" t="s">
        <v>5</v>
      </c>
      <c r="C2" s="5" t="s">
        <v>56</v>
      </c>
      <c r="D2" s="11" t="s">
        <v>75</v>
      </c>
      <c r="E2" s="5" t="s">
        <v>56</v>
      </c>
      <c r="F2" s="5" t="s">
        <v>56</v>
      </c>
    </row>
    <row r="3" spans="1:6" ht="15.75">
      <c r="A3" s="11" t="s">
        <v>56</v>
      </c>
      <c r="B3" s="11" t="s">
        <v>56</v>
      </c>
      <c r="C3" s="11" t="s">
        <v>56</v>
      </c>
      <c r="D3" s="11" t="s">
        <v>56</v>
      </c>
      <c r="E3" s="11" t="s">
        <v>56</v>
      </c>
      <c r="F3" s="11" t="s">
        <v>56</v>
      </c>
    </row>
    <row r="4" spans="1:6" ht="15.75">
      <c r="A4" s="11" t="s">
        <v>6</v>
      </c>
      <c r="B4" s="5" t="s">
        <v>7</v>
      </c>
      <c r="C4" s="5" t="s">
        <v>56</v>
      </c>
      <c r="D4" s="11" t="s">
        <v>8</v>
      </c>
      <c r="E4" s="5" t="s">
        <v>9</v>
      </c>
      <c r="F4" s="5" t="s">
        <v>56</v>
      </c>
    </row>
    <row r="5" spans="1:6" ht="15.75">
      <c r="A5" s="11" t="s">
        <v>10</v>
      </c>
      <c r="B5" s="5" t="s">
        <v>11</v>
      </c>
      <c r="C5" s="5" t="s">
        <v>56</v>
      </c>
      <c r="D5" s="11" t="s">
        <v>12</v>
      </c>
      <c r="E5" s="5" t="s">
        <v>11</v>
      </c>
      <c r="F5" s="5" t="s">
        <v>56</v>
      </c>
    </row>
    <row r="6" spans="1:6" ht="15.75">
      <c r="A6" s="11" t="s">
        <v>13</v>
      </c>
      <c r="B6" s="5" t="s">
        <v>14</v>
      </c>
      <c r="C6" s="5" t="s">
        <v>56</v>
      </c>
      <c r="D6" s="11" t="s">
        <v>15</v>
      </c>
      <c r="E6" s="5" t="s">
        <v>16</v>
      </c>
      <c r="F6" s="5" t="s">
        <v>56</v>
      </c>
    </row>
    <row r="7" spans="1:6" ht="15.75">
      <c r="A7" s="11" t="s">
        <v>17</v>
      </c>
      <c r="B7" s="5" t="s">
        <v>57</v>
      </c>
      <c r="C7" s="5" t="s">
        <v>56</v>
      </c>
      <c r="D7" s="11" t="s">
        <v>18</v>
      </c>
      <c r="E7" s="5" t="s">
        <v>19</v>
      </c>
      <c r="F7" s="5" t="s">
        <v>56</v>
      </c>
    </row>
    <row r="8" spans="1:6" ht="15.75">
      <c r="A8" s="11" t="s">
        <v>56</v>
      </c>
      <c r="B8" s="11" t="s">
        <v>56</v>
      </c>
      <c r="C8" s="11" t="s">
        <v>56</v>
      </c>
      <c r="D8" s="11" t="s">
        <v>56</v>
      </c>
      <c r="E8" s="11" t="s">
        <v>56</v>
      </c>
      <c r="F8" s="11" t="s">
        <v>56</v>
      </c>
    </row>
    <row r="9" spans="1:6" ht="15.75">
      <c r="A9" s="11" t="s">
        <v>20</v>
      </c>
      <c r="B9" s="5" t="s">
        <v>21</v>
      </c>
      <c r="C9" s="5" t="s">
        <v>56</v>
      </c>
      <c r="D9" s="11" t="s">
        <v>22</v>
      </c>
      <c r="E9" s="5" t="s">
        <v>23</v>
      </c>
      <c r="F9" s="5" t="s">
        <v>56</v>
      </c>
    </row>
    <row r="10" spans="1:6" ht="15.75">
      <c r="A10" s="11" t="s">
        <v>24</v>
      </c>
      <c r="B10" s="5" t="s">
        <v>25</v>
      </c>
      <c r="C10" s="5" t="s">
        <v>56</v>
      </c>
      <c r="D10" s="11" t="s">
        <v>26</v>
      </c>
      <c r="E10" s="5" t="s">
        <v>27</v>
      </c>
      <c r="F10" s="5" t="s">
        <v>56</v>
      </c>
    </row>
    <row r="11" spans="1:6" ht="15.75">
      <c r="A11" s="11" t="s">
        <v>28</v>
      </c>
      <c r="B11" s="5" t="s">
        <v>29</v>
      </c>
      <c r="C11" s="5" t="s">
        <v>56</v>
      </c>
      <c r="D11" s="11" t="s">
        <v>30</v>
      </c>
      <c r="E11" s="5" t="s">
        <v>31</v>
      </c>
      <c r="F11" s="5" t="s">
        <v>56</v>
      </c>
    </row>
    <row r="12" spans="1:6" ht="15.75">
      <c r="A12" s="11" t="s">
        <v>32</v>
      </c>
      <c r="B12" s="5" t="s">
        <v>33</v>
      </c>
      <c r="C12" s="5" t="s">
        <v>56</v>
      </c>
      <c r="D12" s="11" t="s">
        <v>34</v>
      </c>
      <c r="E12" s="5" t="s">
        <v>35</v>
      </c>
      <c r="F12" s="5" t="s">
        <v>56</v>
      </c>
    </row>
    <row r="13" spans="1:6" ht="15.75">
      <c r="A13" s="11" t="s">
        <v>36</v>
      </c>
      <c r="B13" s="5" t="s">
        <v>37</v>
      </c>
      <c r="C13" s="5" t="s">
        <v>56</v>
      </c>
      <c r="D13" s="11" t="s">
        <v>38</v>
      </c>
      <c r="E13" s="5" t="s">
        <v>39</v>
      </c>
      <c r="F13" s="5" t="s">
        <v>56</v>
      </c>
    </row>
    <row r="14" spans="1:6" ht="15.75">
      <c r="A14" s="11" t="s">
        <v>40</v>
      </c>
      <c r="B14" s="5" t="s">
        <v>41</v>
      </c>
      <c r="C14" s="5" t="s">
        <v>56</v>
      </c>
      <c r="D14" s="11" t="s">
        <v>42</v>
      </c>
      <c r="E14" s="5" t="s">
        <v>58</v>
      </c>
      <c r="F14" s="5" t="s">
        <v>56</v>
      </c>
    </row>
    <row r="15" spans="1:6" ht="15.75">
      <c r="A15" s="11" t="s">
        <v>56</v>
      </c>
      <c r="B15" s="11" t="s">
        <v>56</v>
      </c>
      <c r="C15" s="11" t="s">
        <v>56</v>
      </c>
      <c r="D15" s="11" t="s">
        <v>56</v>
      </c>
      <c r="E15" s="11" t="s">
        <v>56</v>
      </c>
      <c r="F15" s="11" t="s">
        <v>56</v>
      </c>
    </row>
    <row r="16" spans="1:6" ht="15.75">
      <c r="A16" s="11" t="s">
        <v>43</v>
      </c>
      <c r="B16" s="11" t="s">
        <v>59</v>
      </c>
      <c r="C16" s="11" t="s">
        <v>60</v>
      </c>
      <c r="D16" s="11" t="s">
        <v>61</v>
      </c>
      <c r="E16" s="11" t="s">
        <v>62</v>
      </c>
      <c r="F16" s="11" t="s">
        <v>63</v>
      </c>
    </row>
    <row r="17" spans="1:6" ht="15.75">
      <c r="A17" s="11" t="s">
        <v>32</v>
      </c>
      <c r="B17" s="11" t="s">
        <v>44</v>
      </c>
      <c r="C17" s="11" t="s">
        <v>44</v>
      </c>
      <c r="D17" s="11" t="s">
        <v>44</v>
      </c>
      <c r="E17" s="11" t="s">
        <v>44</v>
      </c>
      <c r="F17" s="11" t="s">
        <v>44</v>
      </c>
    </row>
    <row r="18" spans="1:6" ht="15.75">
      <c r="A18" s="11" t="s">
        <v>34</v>
      </c>
      <c r="B18" s="11" t="s">
        <v>45</v>
      </c>
      <c r="C18" s="11" t="s">
        <v>45</v>
      </c>
      <c r="D18" s="11" t="s">
        <v>45</v>
      </c>
      <c r="E18" s="11" t="s">
        <v>45</v>
      </c>
      <c r="F18" s="11" t="s">
        <v>45</v>
      </c>
    </row>
    <row r="19" spans="1:6" ht="15.75">
      <c r="A19" s="11" t="s">
        <v>36</v>
      </c>
      <c r="B19" s="11" t="s">
        <v>46</v>
      </c>
      <c r="C19" s="11" t="s">
        <v>46</v>
      </c>
      <c r="D19" s="11" t="s">
        <v>46</v>
      </c>
      <c r="E19" s="11" t="s">
        <v>46</v>
      </c>
      <c r="F19" s="11" t="s">
        <v>46</v>
      </c>
    </row>
    <row r="20" spans="1:6" ht="15.75">
      <c r="A20" s="11" t="s">
        <v>47</v>
      </c>
      <c r="B20" s="11" t="s">
        <v>48</v>
      </c>
      <c r="C20" s="11" t="s">
        <v>49</v>
      </c>
      <c r="D20" s="11" t="s">
        <v>39</v>
      </c>
      <c r="E20" s="11" t="s">
        <v>50</v>
      </c>
      <c r="F20" s="11" t="s">
        <v>51</v>
      </c>
    </row>
    <row r="21" spans="1:6" ht="15.75">
      <c r="A21" s="11" t="s">
        <v>40</v>
      </c>
      <c r="B21" s="11" t="s">
        <v>52</v>
      </c>
      <c r="C21" s="11" t="s">
        <v>53</v>
      </c>
      <c r="D21" s="11" t="s">
        <v>41</v>
      </c>
      <c r="E21" s="11" t="s">
        <v>54</v>
      </c>
      <c r="F21" s="11" t="s">
        <v>55</v>
      </c>
    </row>
    <row r="22" spans="1:6" ht="15.75">
      <c r="A22" s="11" t="s">
        <v>42</v>
      </c>
      <c r="B22" s="11" t="s">
        <v>64</v>
      </c>
      <c r="C22" s="11" t="s">
        <v>65</v>
      </c>
      <c r="D22" s="11" t="s">
        <v>58</v>
      </c>
      <c r="E22" s="11" t="s">
        <v>66</v>
      </c>
      <c r="F22" s="11" t="s">
        <v>67</v>
      </c>
    </row>
    <row r="23" spans="1:6" ht="15.75">
      <c r="A23" s="11" t="s">
        <v>56</v>
      </c>
      <c r="B23" s="11" t="s">
        <v>56</v>
      </c>
      <c r="C23" s="11" t="s">
        <v>56</v>
      </c>
      <c r="D23" s="11" t="s">
        <v>56</v>
      </c>
      <c r="E23" s="11" t="s">
        <v>56</v>
      </c>
      <c r="F23" s="11" t="s">
        <v>56</v>
      </c>
    </row>
    <row r="24" spans="1:6" ht="15.75">
      <c r="A24" s="11" t="s">
        <v>77</v>
      </c>
      <c r="B24" s="5" t="s">
        <v>78</v>
      </c>
      <c r="C24" s="5" t="s">
        <v>56</v>
      </c>
      <c r="D24" s="11" t="s">
        <v>79</v>
      </c>
      <c r="E24" s="5" t="s">
        <v>80</v>
      </c>
      <c r="F24" s="5" t="s">
        <v>56</v>
      </c>
    </row>
  </sheetData>
  <mergeCells count="26">
    <mergeCell ref="B5:C5"/>
    <mergeCell ref="E5:F5"/>
    <mergeCell ref="B6:C6"/>
    <mergeCell ref="E6:F6"/>
    <mergeCell ref="B7:C7"/>
    <mergeCell ref="E7:F7"/>
    <mergeCell ref="B1:C1"/>
    <mergeCell ref="E1:F1"/>
    <mergeCell ref="B24:C24"/>
    <mergeCell ref="E24:F24"/>
    <mergeCell ref="B13:C13"/>
    <mergeCell ref="E13:F13"/>
    <mergeCell ref="B14:C14"/>
    <mergeCell ref="E14:F14"/>
    <mergeCell ref="B2:C2"/>
    <mergeCell ref="E2:F2"/>
    <mergeCell ref="B4:C4"/>
    <mergeCell ref="E4:F4"/>
    <mergeCell ref="B9:C9"/>
    <mergeCell ref="E9:F9"/>
    <mergeCell ref="B10:C10"/>
    <mergeCell ref="E10:F10"/>
    <mergeCell ref="B11:C11"/>
    <mergeCell ref="E11:F11"/>
    <mergeCell ref="B12:C12"/>
    <mergeCell ref="E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보고서</vt:lpstr>
      <vt:lpstr>Sheet1</vt:lpstr>
      <vt:lpstr>보고서!Print_Area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서울에너지공사</dc:creator>
  <cp:lastModifiedBy>서울에너지공사</cp:lastModifiedBy>
  <cp:lastPrinted>2026-02-27T09:10:34Z</cp:lastPrinted>
  <dcterms:created xsi:type="dcterms:W3CDTF">2026-02-27T08:02:55Z</dcterms:created>
  <dcterms:modified xsi:type="dcterms:W3CDTF">2026-02-27T09:41:30Z</dcterms:modified>
</cp:coreProperties>
</file>